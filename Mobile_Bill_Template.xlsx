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OMEN\0018- Jasmine\BIlls\"/>
    </mc:Choice>
  </mc:AlternateContent>
  <xr:revisionPtr revIDLastSave="0" documentId="13_ncr:1_{71BEF015-A1C5-473B-9A25-77EEA7B6F5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bile Bill" sheetId="2" r:id="rId1"/>
  </sheets>
  <definedNames>
    <definedName name="_xlnm.Print_Area" localSheetId="0">'Mobile Bill'!$B$1:$U$86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0" i="2" l="1"/>
  <c r="S33" i="2" s="1"/>
  <c r="S36" i="2" s="1"/>
  <c r="S14" i="2"/>
  <c r="Q4" i="2"/>
  <c r="S27" i="2" s="1"/>
</calcChain>
</file>

<file path=xl/sharedStrings.xml><?xml version="1.0" encoding="utf-8"?>
<sst xmlns="http://schemas.openxmlformats.org/spreadsheetml/2006/main" count="50" uniqueCount="41">
  <si>
    <t>Mrs Jasmine Kaur</t>
  </si>
  <si>
    <t>Email Address: bbejasmine@gmail.com</t>
  </si>
  <si>
    <t>Phone Number: 9810229309</t>
  </si>
  <si>
    <t>Amount Payable:</t>
  </si>
  <si>
    <t>Due Date:</t>
  </si>
  <si>
    <t>Previous Dues</t>
  </si>
  <si>
    <t>Payements</t>
  </si>
  <si>
    <t>Credit/Adjustment</t>
  </si>
  <si>
    <t>Charges for this Month</t>
  </si>
  <si>
    <t>Amount Payable</t>
  </si>
  <si>
    <t>-</t>
  </si>
  <si>
    <t>+</t>
  </si>
  <si>
    <t>=</t>
  </si>
  <si>
    <t>This Month's Summary</t>
  </si>
  <si>
    <t>Services</t>
  </si>
  <si>
    <t>No. of
Connections</t>
  </si>
  <si>
    <t>Other Charges</t>
  </si>
  <si>
    <t>Total</t>
  </si>
  <si>
    <t>Plan/Pack
Charges</t>
  </si>
  <si>
    <r>
      <t xml:space="preserve">Mobile </t>
    </r>
    <r>
      <rPr>
        <sz val="16"/>
        <color theme="1"/>
        <rFont val="Calibri"/>
        <family val="2"/>
        <scheme val="minor"/>
      </rPr>
      <t>9810229309</t>
    </r>
  </si>
  <si>
    <t>Number of Connections:3</t>
  </si>
  <si>
    <t>Your Plan: Infinity Family Plan 1599</t>
  </si>
  <si>
    <t>Taxes (GST)</t>
  </si>
  <si>
    <t>Previous Due</t>
  </si>
  <si>
    <r>
      <t>Payements</t>
    </r>
    <r>
      <rPr>
        <b/>
        <vertAlign val="superscript"/>
        <sz val="16"/>
        <color theme="1"/>
        <rFont val="Calibri"/>
        <family val="2"/>
        <scheme val="minor"/>
      </rPr>
      <t>1</t>
    </r>
  </si>
  <si>
    <t>Totals (Incl. Taxes)</t>
  </si>
  <si>
    <t>Relationship No. 1029577295</t>
  </si>
  <si>
    <t>cheque/DD</t>
  </si>
  <si>
    <t>In favour of "Airtel Relationship no. 1029577295"</t>
  </si>
  <si>
    <t>Amount Due : 1886.82</t>
  </si>
  <si>
    <t>LoB : Mobility</t>
  </si>
  <si>
    <t>cheque/DD No. _____________ Dated _____________ Amount _____________ Bank _____________</t>
  </si>
  <si>
    <t>Total : Eighteen Hundred Eighty Six Rupees and Eighty Two Paisa only</t>
  </si>
  <si>
    <t>B-95, Dayanand Colony</t>
  </si>
  <si>
    <t>Lajpat Nagar -4</t>
  </si>
  <si>
    <t>New Delhi  110024</t>
  </si>
  <si>
    <t>Statement Period:</t>
  </si>
  <si>
    <t>Statement Date:23 Apr 2025</t>
  </si>
  <si>
    <t>Statement Period:23 Mar 2024-22 Apr 2025</t>
  </si>
  <si>
    <t>Amount after due
date(12 May)</t>
  </si>
  <si>
    <t>Bill No. FC56478734091320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</si>
</sst>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[$-C09]dd/mmm/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vertAlign val="superscript"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2" borderId="0" xfId="0" applyFill="1"/>
    <xf numFmtId="0" fontId="0" fillId="2" borderId="0" xfId="0" applyFill="1" applyAlignment="1">
      <alignment vertical="top"/>
    </xf>
    <xf numFmtId="0" fontId="0" fillId="2" borderId="0" xfId="0" applyFill="1" applyAlignment="1">
      <alignment vertical="center"/>
    </xf>
    <xf numFmtId="0" fontId="2" fillId="3" borderId="0" xfId="0" applyFont="1" applyFill="1"/>
    <xf numFmtId="0" fontId="2" fillId="3" borderId="0" xfId="0" applyFont="1" applyFill="1" applyAlignment="1">
      <alignment vertical="top"/>
    </xf>
    <xf numFmtId="164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0" fontId="2" fillId="3" borderId="3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164" fontId="7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0" fillId="2" borderId="1" xfId="0" applyFill="1" applyBorder="1"/>
    <xf numFmtId="0" fontId="0" fillId="2" borderId="2" xfId="0" applyFill="1" applyBorder="1"/>
    <xf numFmtId="0" fontId="1" fillId="2" borderId="0" xfId="0" applyFont="1" applyFill="1"/>
    <xf numFmtId="0" fontId="8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4" fillId="2" borderId="0" xfId="0" applyFont="1" applyFill="1"/>
    <xf numFmtId="164" fontId="5" fillId="2" borderId="0" xfId="0" applyNumberFormat="1" applyFont="1" applyFill="1" applyAlignment="1">
      <alignment vertical="center"/>
    </xf>
    <xf numFmtId="164" fontId="5" fillId="2" borderId="0" xfId="0" applyNumberFormat="1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5" fillId="2" borderId="0" xfId="0" applyFont="1" applyFill="1"/>
    <xf numFmtId="0" fontId="6" fillId="2" borderId="0" xfId="0" applyFont="1" applyFill="1"/>
    <xf numFmtId="0" fontId="0" fillId="2" borderId="7" xfId="0" applyFill="1" applyBorder="1" applyAlignment="1">
      <alignment horizontal="left" vertical="center"/>
    </xf>
    <xf numFmtId="164" fontId="13" fillId="2" borderId="2" xfId="0" applyNumberFormat="1" applyFont="1" applyFill="1" applyBorder="1" applyAlignment="1">
      <alignment vertical="center"/>
    </xf>
    <xf numFmtId="0" fontId="2" fillId="3" borderId="4" xfId="0" applyFont="1" applyFill="1" applyBorder="1"/>
    <xf numFmtId="0" fontId="2" fillId="3" borderId="5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4" borderId="0" xfId="0" applyFill="1" applyAlignment="1">
      <alignment vertical="top"/>
    </xf>
    <xf numFmtId="0" fontId="0" fillId="4" borderId="0" xfId="0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5" fontId="7" fillId="2" borderId="0" xfId="0" applyNumberFormat="1" applyFont="1" applyFill="1" applyAlignment="1">
      <alignment horizontal="left" vertical="center"/>
    </xf>
    <xf numFmtId="0" fontId="9" fillId="3" borderId="0" xfId="0" applyFont="1" applyFill="1" applyAlignment="1">
      <alignment horizontal="left" vertical="top" wrapText="1"/>
    </xf>
    <xf numFmtId="0" fontId="11" fillId="3" borderId="4" xfId="0" applyFont="1" applyFill="1" applyBorder="1" applyAlignment="1">
      <alignment horizontal="left" vertical="center"/>
    </xf>
    <xf numFmtId="0" fontId="11" fillId="3" borderId="5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0" fontId="9" fillId="3" borderId="0" xfId="0" applyFont="1" applyFill="1" applyAlignment="1">
      <alignment horizontal="left" vertical="top"/>
    </xf>
    <xf numFmtId="0" fontId="13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 vertical="center" wrapText="1"/>
    </xf>
    <xf numFmtId="164" fontId="13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A1A1A1"/>
      <color rgb="FF7373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377734</xdr:colOff>
      <xdr:row>0</xdr:row>
      <xdr:rowOff>87085</xdr:rowOff>
    </xdr:from>
    <xdr:to>
      <xdr:col>21</xdr:col>
      <xdr:colOff>1</xdr:colOff>
      <xdr:row>0</xdr:row>
      <xdr:rowOff>1045029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9C2A68-026F-4A88-B738-DE233C289F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850" r="4098"/>
        <a:stretch/>
      </xdr:blipFill>
      <xdr:spPr>
        <a:xfrm>
          <a:off x="377734" y="87085"/>
          <a:ext cx="13534210" cy="957944"/>
        </a:xfrm>
        <a:prstGeom prst="rect">
          <a:avLst/>
        </a:prstGeom>
      </xdr:spPr>
    </xdr:pic>
    <xdr:clientData/>
  </xdr:twoCellAnchor>
  <xdr:twoCellAnchor editAs="oneCell">
    <xdr:from>
      <xdr:col>0</xdr:col>
      <xdr:colOff>337458</xdr:colOff>
      <xdr:row>40</xdr:row>
      <xdr:rowOff>40000</xdr:rowOff>
    </xdr:from>
    <xdr:to>
      <xdr:col>21</xdr:col>
      <xdr:colOff>32657</xdr:colOff>
      <xdr:row>58</xdr:row>
      <xdr:rowOff>138488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6FAD73-D736-4B3F-B114-30E859241D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214" r="4515"/>
        <a:stretch/>
      </xdr:blipFill>
      <xdr:spPr>
        <a:xfrm>
          <a:off x="337458" y="11176086"/>
          <a:ext cx="13607142" cy="3429516"/>
        </a:xfrm>
        <a:prstGeom prst="rect">
          <a:avLst/>
        </a:prstGeom>
      </xdr:spPr>
    </xdr:pic>
    <xdr:clientData/>
  </xdr:twoCellAnchor>
  <xdr:twoCellAnchor editAs="oneCell">
    <xdr:from>
      <xdr:col>0</xdr:col>
      <xdr:colOff>263433</xdr:colOff>
      <xdr:row>59</xdr:row>
      <xdr:rowOff>97971</xdr:rowOff>
    </xdr:from>
    <xdr:to>
      <xdr:col>21</xdr:col>
      <xdr:colOff>192033</xdr:colOff>
      <xdr:row>78</xdr:row>
      <xdr:rowOff>10886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E5251E-406F-40B6-9FBA-D46B4BA7F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3433" y="14360071"/>
          <a:ext cx="13847800" cy="329111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12</xdr:col>
      <xdr:colOff>84349</xdr:colOff>
      <xdr:row>80</xdr:row>
      <xdr:rowOff>94746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8CC750-EDCE-4A51-B3D1-0A712F865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8571" y="18102943"/>
          <a:ext cx="6104149" cy="464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89F4A-CADB-4C83-9F36-E7311C3A98BC}">
  <sheetPr>
    <pageSetUpPr fitToPage="1"/>
  </sheetPr>
  <dimension ref="A1:X87"/>
  <sheetViews>
    <sheetView tabSelected="1" view="pageBreakPreview" zoomScale="60" zoomScaleNormal="70" workbookViewId="0">
      <selection activeCell="H82" sqref="H82:L82"/>
    </sheetView>
  </sheetViews>
  <sheetFormatPr defaultRowHeight="14.4" x14ac:dyDescent="0.3"/>
  <cols>
    <col min="1" max="1" width="5.5546875" customWidth="1"/>
    <col min="2" max="2" width="4.77734375" customWidth="1"/>
    <col min="8" max="8" width="7.77734375" customWidth="1"/>
    <col min="13" max="13" width="17.88671875" bestFit="1" customWidth="1"/>
    <col min="17" max="17" width="17.88671875" bestFit="1" customWidth="1"/>
    <col min="18" max="18" width="10.77734375" customWidth="1"/>
    <col min="19" max="19" width="17.88671875" bestFit="1" customWidth="1"/>
    <col min="20" max="20" width="4.6640625" customWidth="1"/>
  </cols>
  <sheetData>
    <row r="1" spans="1:24" ht="85.8" customHeigh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4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4" s="2" customFormat="1" ht="25.8" customHeight="1" x14ac:dyDescent="0.3">
      <c r="A3" s="5"/>
      <c r="B3" s="39" t="s">
        <v>0</v>
      </c>
      <c r="C3" s="39"/>
      <c r="D3" s="39"/>
      <c r="E3" s="39"/>
      <c r="F3" s="39"/>
      <c r="G3" s="39"/>
      <c r="H3" s="39"/>
      <c r="I3" s="5"/>
      <c r="J3" s="39" t="s">
        <v>21</v>
      </c>
      <c r="K3" s="39"/>
      <c r="L3" s="39"/>
      <c r="M3" s="39"/>
      <c r="N3" s="39"/>
      <c r="O3" s="39"/>
      <c r="P3" s="39"/>
      <c r="Q3" s="39" t="s">
        <v>3</v>
      </c>
      <c r="R3" s="39"/>
      <c r="S3" s="39"/>
      <c r="T3" s="19"/>
      <c r="U3" s="5"/>
    </row>
    <row r="4" spans="1:24" s="2" customFormat="1" ht="25.8" customHeight="1" x14ac:dyDescent="0.3">
      <c r="A4" s="5"/>
      <c r="B4" s="40" t="s">
        <v>33</v>
      </c>
      <c r="C4" s="40"/>
      <c r="D4" s="40"/>
      <c r="E4" s="40"/>
      <c r="F4" s="40"/>
      <c r="G4" s="40"/>
      <c r="H4" s="40"/>
      <c r="I4" s="5"/>
      <c r="J4" s="40" t="s">
        <v>20</v>
      </c>
      <c r="K4" s="40"/>
      <c r="L4" s="40"/>
      <c r="M4" s="40"/>
      <c r="N4" s="40"/>
      <c r="O4" s="40"/>
      <c r="P4" s="40"/>
      <c r="Q4" s="13">
        <f>1599*1.18</f>
        <v>1886.82</v>
      </c>
      <c r="R4" s="13"/>
      <c r="S4" s="5"/>
      <c r="T4" s="5"/>
      <c r="U4" s="5"/>
    </row>
    <row r="5" spans="1:24" s="2" customFormat="1" ht="25.8" customHeight="1" x14ac:dyDescent="0.3">
      <c r="A5" s="5"/>
      <c r="B5" s="40" t="s">
        <v>34</v>
      </c>
      <c r="C5" s="40"/>
      <c r="D5" s="40"/>
      <c r="E5" s="40"/>
      <c r="F5" s="40"/>
      <c r="G5" s="40"/>
      <c r="H5" s="40"/>
      <c r="I5" s="5"/>
      <c r="J5" s="40" t="s">
        <v>37</v>
      </c>
      <c r="K5" s="40"/>
      <c r="L5" s="40"/>
      <c r="M5" s="40"/>
      <c r="N5" s="40"/>
      <c r="O5" s="40"/>
      <c r="P5" s="40"/>
      <c r="Q5" s="5"/>
      <c r="R5" s="5"/>
      <c r="S5" s="5"/>
      <c r="T5" s="5"/>
      <c r="U5" s="5"/>
      <c r="W5" s="38"/>
    </row>
    <row r="6" spans="1:24" s="2" customFormat="1" ht="25.8" customHeight="1" x14ac:dyDescent="0.3">
      <c r="A6" s="5"/>
      <c r="B6" s="40" t="s">
        <v>35</v>
      </c>
      <c r="C6" s="40"/>
      <c r="D6" s="40"/>
      <c r="E6" s="40"/>
      <c r="F6" s="40"/>
      <c r="G6" s="40"/>
      <c r="H6" s="40"/>
      <c r="I6" s="5"/>
      <c r="J6" s="40" t="s">
        <v>38</v>
      </c>
      <c r="K6" s="40"/>
      <c r="L6" s="40"/>
      <c r="M6" s="40"/>
      <c r="N6" s="40"/>
      <c r="O6" s="40"/>
      <c r="P6" s="40"/>
      <c r="Q6" s="14" t="s">
        <v>4</v>
      </c>
      <c r="R6" s="5"/>
      <c r="S6" s="5"/>
      <c r="T6" s="5"/>
      <c r="U6" s="5"/>
      <c r="W6" s="38"/>
      <c r="X6" s="2" t="s">
        <v>36</v>
      </c>
    </row>
    <row r="7" spans="1:24" s="2" customFormat="1" ht="25.8" customHeight="1" x14ac:dyDescent="0.3">
      <c r="A7" s="5"/>
      <c r="B7" s="40" t="s">
        <v>1</v>
      </c>
      <c r="C7" s="40"/>
      <c r="D7" s="40"/>
      <c r="E7" s="40"/>
      <c r="F7" s="40"/>
      <c r="G7" s="40"/>
      <c r="H7" s="40"/>
      <c r="I7" s="5"/>
      <c r="J7" s="5"/>
      <c r="K7" s="5"/>
      <c r="L7" s="5"/>
      <c r="M7" s="5"/>
      <c r="N7" s="5"/>
      <c r="O7" s="5"/>
      <c r="P7" s="5"/>
      <c r="Q7" s="41">
        <v>45789</v>
      </c>
      <c r="R7" s="41"/>
      <c r="S7" s="5"/>
      <c r="T7" s="5"/>
      <c r="U7" s="5"/>
    </row>
    <row r="8" spans="1:24" s="2" customFormat="1" ht="25.8" customHeight="1" x14ac:dyDescent="0.3">
      <c r="A8" s="5"/>
      <c r="B8" s="40" t="s">
        <v>2</v>
      </c>
      <c r="C8" s="40"/>
      <c r="D8" s="40"/>
      <c r="E8" s="40"/>
      <c r="F8" s="40"/>
      <c r="G8" s="40"/>
      <c r="H8" s="40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4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4" x14ac:dyDescent="0.3">
      <c r="A10" s="3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4" x14ac:dyDescent="0.3">
      <c r="A11" s="3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4" s="1" customFormat="1" ht="45.6" customHeight="1" x14ac:dyDescent="0.3">
      <c r="A12" s="4"/>
      <c r="B12" s="7"/>
      <c r="C12" s="49" t="s">
        <v>5</v>
      </c>
      <c r="D12" s="49"/>
      <c r="E12" s="49"/>
      <c r="F12" s="49" t="s">
        <v>6</v>
      </c>
      <c r="G12" s="49"/>
      <c r="H12" s="49"/>
      <c r="I12" s="49" t="s">
        <v>7</v>
      </c>
      <c r="J12" s="49"/>
      <c r="K12" s="49"/>
      <c r="L12" s="49"/>
      <c r="M12" s="49" t="s">
        <v>8</v>
      </c>
      <c r="N12" s="49"/>
      <c r="O12" s="49"/>
      <c r="P12" s="49"/>
      <c r="Q12" s="49" t="s">
        <v>9</v>
      </c>
      <c r="R12" s="49"/>
      <c r="S12" s="42" t="s">
        <v>39</v>
      </c>
      <c r="T12" s="42"/>
      <c r="U12" s="42"/>
      <c r="W12" s="37"/>
    </row>
    <row r="13" spans="1:24" ht="10.199999999999999" customHeight="1" x14ac:dyDescent="0.3">
      <c r="A13" s="3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4" ht="36.6" customHeight="1" x14ac:dyDescent="0.3">
      <c r="A14" s="3"/>
      <c r="B14" s="6"/>
      <c r="C14" s="48">
        <v>1886.82</v>
      </c>
      <c r="D14" s="48"/>
      <c r="E14" s="8" t="s">
        <v>10</v>
      </c>
      <c r="F14" s="48">
        <v>1886.82</v>
      </c>
      <c r="G14" s="48"/>
      <c r="H14" s="8" t="s">
        <v>10</v>
      </c>
      <c r="I14" s="48">
        <v>0</v>
      </c>
      <c r="J14" s="48"/>
      <c r="K14" s="9"/>
      <c r="L14" s="8" t="s">
        <v>11</v>
      </c>
      <c r="M14" s="9">
        <v>1886.82</v>
      </c>
      <c r="N14" s="9"/>
      <c r="O14" s="9"/>
      <c r="P14" s="8" t="s">
        <v>12</v>
      </c>
      <c r="Q14" s="9">
        <v>1886.82</v>
      </c>
      <c r="R14" s="9"/>
      <c r="S14" s="9">
        <f>Q14*1.14</f>
        <v>2150.9748</v>
      </c>
      <c r="T14" s="9"/>
      <c r="U14" s="9"/>
    </row>
    <row r="15" spans="1:24" x14ac:dyDescent="0.3">
      <c r="A15" s="3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4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3">
      <c r="A17" s="3"/>
      <c r="B17" s="10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4"/>
    </row>
    <row r="18" spans="1:21" ht="25.2" customHeight="1" x14ac:dyDescent="0.3">
      <c r="A18" s="3"/>
      <c r="B18" s="10"/>
      <c r="C18" s="43" t="s">
        <v>13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4"/>
    </row>
    <row r="19" spans="1:21" x14ac:dyDescent="0.3">
      <c r="A19" s="3"/>
      <c r="B19" s="11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2"/>
    </row>
    <row r="20" spans="1:21" x14ac:dyDescent="0.3">
      <c r="A20" s="3"/>
      <c r="B20" s="15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16"/>
    </row>
    <row r="21" spans="1:21" ht="45" customHeight="1" x14ac:dyDescent="0.3">
      <c r="A21" s="3"/>
      <c r="B21" s="15"/>
      <c r="C21" s="46" t="s">
        <v>14</v>
      </c>
      <c r="D21" s="46"/>
      <c r="E21" s="17"/>
      <c r="F21" s="17"/>
      <c r="G21" s="17"/>
      <c r="H21" s="45" t="s">
        <v>15</v>
      </c>
      <c r="I21" s="45"/>
      <c r="J21" s="45"/>
      <c r="K21" s="17"/>
      <c r="L21" s="45" t="s">
        <v>18</v>
      </c>
      <c r="M21" s="45"/>
      <c r="N21" s="45"/>
      <c r="O21" s="17"/>
      <c r="P21" s="47" t="s">
        <v>16</v>
      </c>
      <c r="Q21" s="47"/>
      <c r="R21" s="17"/>
      <c r="S21" s="18" t="s">
        <v>17</v>
      </c>
      <c r="T21" s="18"/>
      <c r="U21" s="16"/>
    </row>
    <row r="22" spans="1:21" x14ac:dyDescent="0.3">
      <c r="A22" s="3"/>
      <c r="B22" s="15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16"/>
    </row>
    <row r="23" spans="1:21" x14ac:dyDescent="0.3">
      <c r="A23" s="3"/>
      <c r="B23" s="15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16"/>
    </row>
    <row r="24" spans="1:21" ht="23.4" x14ac:dyDescent="0.4">
      <c r="A24" s="3"/>
      <c r="B24" s="15"/>
      <c r="C24" s="19" t="s">
        <v>19</v>
      </c>
      <c r="D24" s="20"/>
      <c r="E24" s="21"/>
      <c r="F24" s="22"/>
      <c r="G24" s="22"/>
      <c r="H24" s="52">
        <v>3</v>
      </c>
      <c r="I24" s="52"/>
      <c r="J24" s="52"/>
      <c r="K24" s="22"/>
      <c r="L24" s="3"/>
      <c r="M24" s="23">
        <v>1599</v>
      </c>
      <c r="N24" s="13"/>
      <c r="O24" s="22"/>
      <c r="P24" s="14"/>
      <c r="Q24" s="23">
        <v>0</v>
      </c>
      <c r="R24" s="22"/>
      <c r="S24" s="24">
        <v>1599</v>
      </c>
      <c r="T24" s="24"/>
      <c r="U24" s="16"/>
    </row>
    <row r="25" spans="1:21" x14ac:dyDescent="0.3">
      <c r="A25" s="3"/>
      <c r="B25" s="15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31"/>
      <c r="T25" s="31"/>
      <c r="U25" s="16"/>
    </row>
    <row r="26" spans="1:21" x14ac:dyDescent="0.3">
      <c r="A26" s="3"/>
      <c r="B26" s="15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25"/>
      <c r="T26" s="25"/>
      <c r="U26" s="16"/>
    </row>
    <row r="27" spans="1:21" ht="23.4" x14ac:dyDescent="0.4">
      <c r="A27" s="3"/>
      <c r="B27" s="15"/>
      <c r="C27" s="19" t="s">
        <v>22</v>
      </c>
      <c r="D27" s="20"/>
      <c r="E27" s="21"/>
      <c r="F27" s="22"/>
      <c r="G27" s="22"/>
      <c r="H27" s="52" t="s">
        <v>10</v>
      </c>
      <c r="I27" s="52"/>
      <c r="J27" s="52"/>
      <c r="K27" s="22"/>
      <c r="L27" s="3"/>
      <c r="M27" s="23" t="s">
        <v>10</v>
      </c>
      <c r="N27" s="13"/>
      <c r="O27" s="22"/>
      <c r="P27" s="14"/>
      <c r="Q27" s="23">
        <v>0</v>
      </c>
      <c r="R27" s="22"/>
      <c r="S27" s="24">
        <f>Q4-S24</f>
        <v>287.81999999999994</v>
      </c>
      <c r="T27" s="24"/>
      <c r="U27" s="16"/>
    </row>
    <row r="28" spans="1:21" x14ac:dyDescent="0.3">
      <c r="A28" s="3"/>
      <c r="B28" s="15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31"/>
      <c r="T28" s="25"/>
      <c r="U28" s="16"/>
    </row>
    <row r="29" spans="1:21" x14ac:dyDescent="0.3">
      <c r="A29" s="3"/>
      <c r="B29" s="15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25"/>
      <c r="T29" s="25"/>
      <c r="U29" s="16"/>
    </row>
    <row r="30" spans="1:21" ht="23.4" x14ac:dyDescent="0.4">
      <c r="A30" s="3"/>
      <c r="B30" s="15"/>
      <c r="C30" s="19" t="s">
        <v>23</v>
      </c>
      <c r="D30" s="20"/>
      <c r="E30" s="21"/>
      <c r="F30" s="22"/>
      <c r="G30" s="22"/>
      <c r="H30" s="52" t="s">
        <v>10</v>
      </c>
      <c r="I30" s="52"/>
      <c r="J30" s="52"/>
      <c r="K30" s="22"/>
      <c r="L30" s="3"/>
      <c r="M30" s="23" t="s">
        <v>10</v>
      </c>
      <c r="N30" s="13"/>
      <c r="O30" s="22"/>
      <c r="P30" s="14"/>
      <c r="Q30" s="23">
        <v>0</v>
      </c>
      <c r="R30" s="22"/>
      <c r="S30" s="24">
        <f>1599*1.18</f>
        <v>1886.82</v>
      </c>
      <c r="T30" s="24"/>
      <c r="U30" s="16"/>
    </row>
    <row r="31" spans="1:21" x14ac:dyDescent="0.3">
      <c r="A31" s="3"/>
      <c r="B31" s="15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31"/>
      <c r="T31" s="31"/>
      <c r="U31" s="16"/>
    </row>
    <row r="32" spans="1:21" x14ac:dyDescent="0.3">
      <c r="A32" s="3"/>
      <c r="B32" s="15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25"/>
      <c r="T32" s="25"/>
      <c r="U32" s="16"/>
    </row>
    <row r="33" spans="1:21" ht="23.4" x14ac:dyDescent="0.4">
      <c r="A33" s="3"/>
      <c r="B33" s="15"/>
      <c r="C33" s="19" t="s">
        <v>24</v>
      </c>
      <c r="D33" s="20"/>
      <c r="E33" s="21"/>
      <c r="F33" s="22"/>
      <c r="G33" s="22"/>
      <c r="H33" s="52" t="s">
        <v>10</v>
      </c>
      <c r="I33" s="52"/>
      <c r="J33" s="52"/>
      <c r="K33" s="22"/>
      <c r="L33" s="3"/>
      <c r="M33" s="23" t="s">
        <v>10</v>
      </c>
      <c r="N33" s="13"/>
      <c r="O33" s="22"/>
      <c r="P33" s="14"/>
      <c r="Q33" s="23">
        <v>0</v>
      </c>
      <c r="R33" s="22"/>
      <c r="S33" s="24">
        <f>Q10-S30</f>
        <v>-1886.82</v>
      </c>
      <c r="T33" s="24"/>
      <c r="U33" s="16"/>
    </row>
    <row r="34" spans="1:21" x14ac:dyDescent="0.3">
      <c r="A34" s="3"/>
      <c r="B34" s="1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16"/>
    </row>
    <row r="35" spans="1:21" x14ac:dyDescent="0.3">
      <c r="A35" s="3"/>
      <c r="B35" s="15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16"/>
    </row>
    <row r="36" spans="1:21" ht="31.2" x14ac:dyDescent="0.4">
      <c r="A36" s="3"/>
      <c r="B36" s="15"/>
      <c r="C36" s="50" t="s">
        <v>25</v>
      </c>
      <c r="D36" s="50"/>
      <c r="E36" s="50"/>
      <c r="F36" s="50"/>
      <c r="G36" s="50"/>
      <c r="H36" s="52" t="s">
        <v>10</v>
      </c>
      <c r="I36" s="52"/>
      <c r="J36" s="52"/>
      <c r="K36" s="22"/>
      <c r="L36" s="3"/>
      <c r="M36" s="23" t="s">
        <v>10</v>
      </c>
      <c r="N36" s="13"/>
      <c r="O36" s="22"/>
      <c r="P36" s="14"/>
      <c r="Q36" s="23">
        <v>0</v>
      </c>
      <c r="R36" s="22"/>
      <c r="S36" s="53">
        <f>Q13-S33</f>
        <v>1886.82</v>
      </c>
      <c r="T36" s="53"/>
      <c r="U36" s="32"/>
    </row>
    <row r="37" spans="1:21" x14ac:dyDescent="0.3">
      <c r="A37" s="3"/>
      <c r="B37" s="1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16"/>
    </row>
    <row r="38" spans="1:21" x14ac:dyDescent="0.3">
      <c r="A38" s="3"/>
      <c r="B38" s="1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16"/>
    </row>
    <row r="39" spans="1:21" ht="21" x14ac:dyDescent="0.4">
      <c r="A39" s="3"/>
      <c r="B39" s="15"/>
      <c r="C39" s="19" t="s">
        <v>32</v>
      </c>
      <c r="D39" s="20"/>
      <c r="E39" s="21"/>
      <c r="F39" s="22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16"/>
    </row>
    <row r="40" spans="1:21" x14ac:dyDescent="0.3">
      <c r="A40" s="3"/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8"/>
    </row>
    <row r="41" spans="1:2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ht="21" x14ac:dyDescent="0.4">
      <c r="A82" s="3"/>
      <c r="B82" s="3"/>
      <c r="C82" s="51" t="s">
        <v>26</v>
      </c>
      <c r="D82" s="51"/>
      <c r="E82" s="51"/>
      <c r="F82" s="51"/>
      <c r="G82" s="51"/>
      <c r="H82" s="51" t="s">
        <v>40</v>
      </c>
      <c r="I82" s="51"/>
      <c r="J82" s="51"/>
      <c r="K82" s="51"/>
      <c r="L82" s="51"/>
      <c r="M82" s="3"/>
      <c r="N82" s="3"/>
      <c r="O82" s="51" t="s">
        <v>29</v>
      </c>
      <c r="P82" s="51"/>
      <c r="Q82" s="51"/>
      <c r="R82" s="3"/>
      <c r="S82" s="29" t="s">
        <v>30</v>
      </c>
      <c r="T82" s="29"/>
      <c r="U82" s="3"/>
    </row>
    <row r="83" spans="1:2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ht="21" x14ac:dyDescent="0.4">
      <c r="A84" s="3"/>
      <c r="B84" s="3"/>
      <c r="C84" s="30" t="s">
        <v>27</v>
      </c>
      <c r="D84" s="3"/>
      <c r="E84" s="3"/>
      <c r="F84" s="3"/>
      <c r="G84" s="3"/>
      <c r="H84" s="51" t="s">
        <v>28</v>
      </c>
      <c r="I84" s="51"/>
      <c r="J84" s="51"/>
      <c r="K84" s="51"/>
      <c r="L84" s="51"/>
      <c r="M84" s="51"/>
      <c r="N84" s="51"/>
      <c r="O84" s="3"/>
      <c r="P84" s="3"/>
      <c r="Q84" s="3"/>
      <c r="R84" s="3"/>
      <c r="S84" s="3"/>
      <c r="T84" s="3"/>
      <c r="U84" s="3"/>
    </row>
    <row r="85" spans="1:2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ht="21" x14ac:dyDescent="0.4">
      <c r="A86" s="3"/>
      <c r="B86" s="3"/>
      <c r="C86" s="3"/>
      <c r="D86" s="3"/>
      <c r="E86" s="3"/>
      <c r="F86" s="3"/>
      <c r="G86" s="3"/>
      <c r="H86" s="29" t="s">
        <v>31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</sheetData>
  <mergeCells count="37">
    <mergeCell ref="H84:N84"/>
    <mergeCell ref="O82:Q82"/>
    <mergeCell ref="S36:T36"/>
    <mergeCell ref="H33:J33"/>
    <mergeCell ref="H36:J36"/>
    <mergeCell ref="C36:G36"/>
    <mergeCell ref="C82:G82"/>
    <mergeCell ref="H82:L82"/>
    <mergeCell ref="H24:J24"/>
    <mergeCell ref="H27:J27"/>
    <mergeCell ref="H30:J30"/>
    <mergeCell ref="Q7:R7"/>
    <mergeCell ref="S12:U12"/>
    <mergeCell ref="C18:U18"/>
    <mergeCell ref="H21:J21"/>
    <mergeCell ref="C21:D21"/>
    <mergeCell ref="L21:N21"/>
    <mergeCell ref="P21:Q21"/>
    <mergeCell ref="C14:D14"/>
    <mergeCell ref="F14:G14"/>
    <mergeCell ref="I14:J14"/>
    <mergeCell ref="C12:E12"/>
    <mergeCell ref="F12:H12"/>
    <mergeCell ref="Q12:R12"/>
    <mergeCell ref="I12:L12"/>
    <mergeCell ref="M12:P12"/>
    <mergeCell ref="B8:H8"/>
    <mergeCell ref="J3:P3"/>
    <mergeCell ref="Q3:S3"/>
    <mergeCell ref="J4:P4"/>
    <mergeCell ref="J5:P5"/>
    <mergeCell ref="J6:P6"/>
    <mergeCell ref="B3:H3"/>
    <mergeCell ref="B4:H4"/>
    <mergeCell ref="B5:H5"/>
    <mergeCell ref="B6:H6"/>
    <mergeCell ref="B7:H7"/>
  </mergeCells>
  <pageMargins left="0.70866141732283472" right="0.70866141732283472" top="0.74803149606299213" bottom="0.74803149606299213" header="0.31496062992125984" footer="0.31496062992125984"/>
  <pageSetup paperSize="9" scale="44" orientation="portrait" r:id="rId1"/>
  <rowBreaks count="2" manualBreakCount="2">
    <brk id="85" min="1" max="20" man="1"/>
    <brk id="86" min="1" max="20" man="1"/>
  </rowBreaks>
  <colBreaks count="1" manualBreakCount="1">
    <brk id="20" max="8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Mobile Bill</vt:lpstr>
      <vt:lpstr>'Mobile Bill'!Print_Area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Jas-Mehar</dc:creator>
  <cp:lastModifiedBy>Meharban Singh</cp:lastModifiedBy>
  <cp:lastPrinted>2025-05-09T00:47:35Z</cp:lastPrinted>
  <dcterms:created xsi:type="dcterms:W3CDTF">2015-06-05T18:17:20Z</dcterms:created>
  <dcterms:modified xsi:type="dcterms:W3CDTF">2025-06-19T16:49:08Z</dcterms:modified>
</cp:coreProperties>
</file>